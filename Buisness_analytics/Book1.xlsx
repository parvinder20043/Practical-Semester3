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A CC &amp; DO\SEM 3\BA LAB\"/>
    </mc:Choice>
  </mc:AlternateContent>
  <xr:revisionPtr revIDLastSave="0" documentId="13_ncr:1_{7EECF5F1-20F4-4D79-B9B3-3F95A344DBF9}" xr6:coauthVersionLast="47" xr6:coauthVersionMax="47" xr10:uidLastSave="{00000000-0000-0000-0000-000000000000}"/>
  <bookViews>
    <workbookView xWindow="-108" yWindow="-108" windowWidth="23256" windowHeight="12456" activeTab="2" xr2:uid="{46802D3B-0D69-4F7E-A68B-5B5981386BF4}"/>
  </bookViews>
  <sheets>
    <sheet name="Sheet2" sheetId="2" r:id="rId1"/>
    <sheet name="Sheet1" sheetId="1" r:id="rId2"/>
    <sheet name="Sheet3" sheetId="3" r:id="rId3"/>
    <sheet name="Sheet4" sheetId="4" r:id="rId4"/>
  </sheets>
  <calcPr calcId="191029"/>
  <pivotCaches>
    <pivotCache cacheId="0" r:id="rId5"/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E3" i="3"/>
  <c r="E4" i="3"/>
  <c r="E5" i="3"/>
  <c r="E6" i="3"/>
  <c r="E7" i="3"/>
  <c r="E8" i="3"/>
  <c r="E2" i="3"/>
  <c r="I2" i="1"/>
  <c r="K2" i="1" s="1"/>
  <c r="E21" i="1"/>
  <c r="H7" i="1"/>
  <c r="J7" i="1" s="1"/>
  <c r="K16" i="1"/>
  <c r="K15" i="1"/>
  <c r="K14" i="1"/>
  <c r="N2" i="1"/>
  <c r="J2" i="1"/>
  <c r="M3" i="1"/>
  <c r="M4" i="1"/>
  <c r="M5" i="1"/>
  <c r="M6" i="1"/>
  <c r="M8" i="1"/>
  <c r="M9" i="1"/>
  <c r="M10" i="1"/>
  <c r="M11" i="1"/>
  <c r="L3" i="1"/>
  <c r="L4" i="1"/>
  <c r="L5" i="1"/>
  <c r="L6" i="1"/>
  <c r="L8" i="1"/>
  <c r="L9" i="1"/>
  <c r="L10" i="1"/>
  <c r="L11" i="1"/>
  <c r="K3" i="1"/>
  <c r="K4" i="1"/>
  <c r="K5" i="1"/>
  <c r="K6" i="1"/>
  <c r="K8" i="1"/>
  <c r="K9" i="1"/>
  <c r="K10" i="1"/>
  <c r="K11" i="1"/>
  <c r="J3" i="1"/>
  <c r="J4" i="1"/>
  <c r="J5" i="1"/>
  <c r="J6" i="1"/>
  <c r="J8" i="1"/>
  <c r="J9" i="1"/>
  <c r="J10" i="1"/>
  <c r="J11" i="1"/>
  <c r="I3" i="1"/>
  <c r="I4" i="1"/>
  <c r="I5" i="1"/>
  <c r="I6" i="1"/>
  <c r="I8" i="1"/>
  <c r="I9" i="1"/>
  <c r="I10" i="1"/>
  <c r="I11" i="1"/>
  <c r="N3" i="1"/>
  <c r="N4" i="1"/>
  <c r="N5" i="1"/>
  <c r="N6" i="1"/>
  <c r="N8" i="1"/>
  <c r="N9" i="1"/>
  <c r="N10" i="1"/>
  <c r="N11" i="1"/>
  <c r="H2" i="1"/>
  <c r="H3" i="1"/>
  <c r="H4" i="1"/>
  <c r="H5" i="1"/>
  <c r="H6" i="1"/>
  <c r="H8" i="1"/>
  <c r="H9" i="1"/>
  <c r="H10" i="1"/>
  <c r="H11" i="1"/>
  <c r="M2" i="1" l="1"/>
  <c r="L2" i="1"/>
  <c r="N7" i="1"/>
  <c r="I7" i="1"/>
  <c r="K7" i="1" l="1"/>
  <c r="M7" i="1"/>
  <c r="L7" i="1"/>
</calcChain>
</file>

<file path=xl/sharedStrings.xml><?xml version="1.0" encoding="utf-8"?>
<sst xmlns="http://schemas.openxmlformats.org/spreadsheetml/2006/main" count="127" uniqueCount="75">
  <si>
    <t>Name</t>
  </si>
  <si>
    <t>Roll No</t>
  </si>
  <si>
    <t>English</t>
  </si>
  <si>
    <t>Math</t>
  </si>
  <si>
    <t>Physics</t>
  </si>
  <si>
    <t>Chemistry</t>
  </si>
  <si>
    <t>IT</t>
  </si>
  <si>
    <t>Krishan Rana</t>
  </si>
  <si>
    <t>Sagar Thakur</t>
  </si>
  <si>
    <t>Gurpreet Singh</t>
  </si>
  <si>
    <t>Ajay Kumar</t>
  </si>
  <si>
    <t>Manvi Sharma</t>
  </si>
  <si>
    <t xml:space="preserve">Priyanshu </t>
  </si>
  <si>
    <t xml:space="preserve">Simran </t>
  </si>
  <si>
    <t>Manpreet Kaur</t>
  </si>
  <si>
    <t>Harshdeep Singh</t>
  </si>
  <si>
    <t>Keerti</t>
  </si>
  <si>
    <t>Total</t>
  </si>
  <si>
    <t xml:space="preserve">IF </t>
  </si>
  <si>
    <t>Nested IF</t>
  </si>
  <si>
    <t>AND</t>
  </si>
  <si>
    <t>OR</t>
  </si>
  <si>
    <t>NOT</t>
  </si>
  <si>
    <t>TOTAL</t>
  </si>
  <si>
    <t>If Error</t>
  </si>
  <si>
    <t>Sum IF</t>
  </si>
  <si>
    <t>Average IF</t>
  </si>
  <si>
    <t>Count IF</t>
  </si>
  <si>
    <t>Row Labels</t>
  </si>
  <si>
    <t>Grand Total</t>
  </si>
  <si>
    <t>Sum of Total</t>
  </si>
  <si>
    <t>Simran</t>
  </si>
  <si>
    <t xml:space="preserve">ID </t>
  </si>
  <si>
    <t>Marks</t>
  </si>
  <si>
    <t>Remarks</t>
  </si>
  <si>
    <t>Parvinder</t>
  </si>
  <si>
    <t>Pankaj</t>
  </si>
  <si>
    <t>Manvi</t>
  </si>
  <si>
    <t>Puneet</t>
  </si>
  <si>
    <t>Krishan</t>
  </si>
  <si>
    <t>Sagar</t>
  </si>
  <si>
    <t>Average</t>
  </si>
  <si>
    <t>Course</t>
  </si>
  <si>
    <t>Grades</t>
  </si>
  <si>
    <t>Tanya</t>
  </si>
  <si>
    <t>Sumit</t>
  </si>
  <si>
    <t>Amit</t>
  </si>
  <si>
    <t>Komal</t>
  </si>
  <si>
    <t>Taran</t>
  </si>
  <si>
    <t>Harpreet</t>
  </si>
  <si>
    <t>Kunal</t>
  </si>
  <si>
    <t>Madhav</t>
  </si>
  <si>
    <t>Shreesh</t>
  </si>
  <si>
    <t>Gagan</t>
  </si>
  <si>
    <t>Medha</t>
  </si>
  <si>
    <t>Babita</t>
  </si>
  <si>
    <t>Nikhil</t>
  </si>
  <si>
    <t>Arti</t>
  </si>
  <si>
    <t>Narsi</t>
  </si>
  <si>
    <t>Mohit</t>
  </si>
  <si>
    <t>MCA</t>
  </si>
  <si>
    <t>MCC</t>
  </si>
  <si>
    <t>MCI</t>
  </si>
  <si>
    <t>BBA</t>
  </si>
  <si>
    <t>MBA</t>
  </si>
  <si>
    <t>BSC</t>
  </si>
  <si>
    <t>MSC</t>
  </si>
  <si>
    <t>B.tech</t>
  </si>
  <si>
    <t>M.tech</t>
  </si>
  <si>
    <t>A</t>
  </si>
  <si>
    <t>C</t>
  </si>
  <si>
    <t>B</t>
  </si>
  <si>
    <t>Fail</t>
  </si>
  <si>
    <t>(All)</t>
  </si>
  <si>
    <t>Count of 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</si>
</sst>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quotePrefix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da" refreshedDate="45149.509924421298" createdVersion="8" refreshedVersion="8" minRefreshableVersion="3" recordCount="10" xr:uid="{08AD1F77-7B3B-42D8-93CF-065DE917E24D}">
  <cacheSource type="worksheet">
    <worksheetSource ref="A1:H11" sheet="Sheet1"/>
  </cacheSource>
  <cacheFields count="8">
    <cacheField name="Name" numFmtId="0">
      <sharedItems count="10">
        <s v="Krishan Rana"/>
        <s v="Sagar Thakur"/>
        <s v="Gurpreet Singh"/>
        <s v="Ajay Kumar"/>
        <s v="Manvi Sharma"/>
        <s v="Priyanshu "/>
        <s v="Simran "/>
        <s v="Manpreet Kaur"/>
        <s v="Harshdeep Singh"/>
        <s v="Keerti"/>
      </sharedItems>
    </cacheField>
    <cacheField name="Roll No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English" numFmtId="0">
      <sharedItems containsSemiMixedTypes="0" containsString="0" containsNumber="1" containsInteger="1" minValue="0" maxValue="95"/>
    </cacheField>
    <cacheField name="IT" numFmtId="0">
      <sharedItems containsSemiMixedTypes="0" containsString="0" containsNumber="1" containsInteger="1" minValue="0" maxValue="94"/>
    </cacheField>
    <cacheField name="Math" numFmtId="0">
      <sharedItems containsSemiMixedTypes="0" containsString="0" containsNumber="1" containsInteger="1" minValue="0" maxValue="87"/>
    </cacheField>
    <cacheField name="Physics" numFmtId="0">
      <sharedItems containsSemiMixedTypes="0" containsString="0" containsNumber="1" containsInteger="1" minValue="0" maxValue="92"/>
    </cacheField>
    <cacheField name="Chemistry" numFmtId="0">
      <sharedItems containsSemiMixedTypes="0" containsString="0" containsNumber="1" containsInteger="1" minValue="0" maxValue="88"/>
    </cacheField>
    <cacheField name="Total" numFmtId="0">
      <sharedItems containsSemiMixedTypes="0" containsString="0" containsNumber="1" containsInteger="1" minValue="0" maxValue="393" count="9">
        <n v="381"/>
        <n v="297"/>
        <n v="323"/>
        <n v="86"/>
        <n v="280"/>
        <n v="393"/>
        <n v="0"/>
        <n v="338"/>
        <n v="33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da" refreshedDate="45203.63537546296" createdVersion="8" refreshedVersion="8" minRefreshableVersion="3" recordCount="22" xr:uid="{725B0A3D-3982-44BC-AD1F-562357FA6B4A}">
  <cacheSource type="worksheet">
    <worksheetSource ref="A1:C23" sheet="Sheet4"/>
  </cacheSource>
  <cacheFields count="3">
    <cacheField name="Name" numFmtId="0">
      <sharedItems count="22">
        <s v="Parvinder"/>
        <s v="Pankaj"/>
        <s v="Tanya"/>
        <s v="Sumit"/>
        <s v="Amit"/>
        <s v="Krishan"/>
        <s v="Sagar"/>
        <s v="Simran"/>
        <s v="Manvi"/>
        <s v="Komal"/>
        <s v="Taran"/>
        <s v="Harpreet"/>
        <s v="Kunal"/>
        <s v="Madhav"/>
        <s v="Shreesh"/>
        <s v="Gagan"/>
        <s v="Medha"/>
        <s v="Babita"/>
        <s v="Nikhil"/>
        <s v="Arti"/>
        <s v="Narsi"/>
        <s v="Mohit"/>
      </sharedItems>
    </cacheField>
    <cacheField name="Course" numFmtId="0">
      <sharedItems count="9">
        <s v="MCA"/>
        <s v="MCC"/>
        <s v="MCI"/>
        <s v="BBA"/>
        <s v="MBA"/>
        <s v="BSC"/>
        <s v="MSC"/>
        <s v="B.tech"/>
        <s v="M.tech"/>
      </sharedItems>
    </cacheField>
    <cacheField name="Grades" numFmtId="0">
      <sharedItems count="4">
        <s v="A"/>
        <s v="B"/>
        <s v="C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75"/>
    <n v="71"/>
    <n v="67"/>
    <n v="85"/>
    <n v="83"/>
    <x v="0"/>
  </r>
  <r>
    <x v="1"/>
    <x v="1"/>
    <n v="85"/>
    <n v="46"/>
    <n v="69"/>
    <n v="45"/>
    <n v="52"/>
    <x v="1"/>
  </r>
  <r>
    <x v="2"/>
    <x v="2"/>
    <n v="62"/>
    <n v="52"/>
    <n v="83"/>
    <n v="58"/>
    <n v="68"/>
    <x v="2"/>
  </r>
  <r>
    <x v="3"/>
    <x v="3"/>
    <n v="0"/>
    <n v="42"/>
    <n v="0"/>
    <n v="32"/>
    <n v="12"/>
    <x v="3"/>
  </r>
  <r>
    <x v="4"/>
    <x v="4"/>
    <n v="51"/>
    <n v="35"/>
    <n v="45"/>
    <n v="92"/>
    <n v="57"/>
    <x v="4"/>
  </r>
  <r>
    <x v="5"/>
    <x v="5"/>
    <n v="95"/>
    <n v="94"/>
    <n v="59"/>
    <n v="83"/>
    <n v="62"/>
    <x v="5"/>
  </r>
  <r>
    <x v="6"/>
    <x v="6"/>
    <n v="84"/>
    <n v="61"/>
    <n v="87"/>
    <n v="65"/>
    <n v="84"/>
    <x v="0"/>
  </r>
  <r>
    <x v="7"/>
    <x v="7"/>
    <n v="0"/>
    <n v="0"/>
    <n v="0"/>
    <n v="0"/>
    <n v="0"/>
    <x v="6"/>
  </r>
  <r>
    <x v="8"/>
    <x v="8"/>
    <n v="75"/>
    <n v="84"/>
    <n v="58"/>
    <n v="84"/>
    <n v="37"/>
    <x v="7"/>
  </r>
  <r>
    <x v="9"/>
    <x v="9"/>
    <n v="39"/>
    <n v="80"/>
    <n v="74"/>
    <n v="54"/>
    <n v="88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</r>
  <r>
    <x v="1"/>
    <x v="1"/>
    <x v="1"/>
  </r>
  <r>
    <x v="2"/>
    <x v="2"/>
    <x v="0"/>
  </r>
  <r>
    <x v="3"/>
    <x v="3"/>
    <x v="2"/>
  </r>
  <r>
    <x v="4"/>
    <x v="4"/>
    <x v="1"/>
  </r>
  <r>
    <x v="5"/>
    <x v="5"/>
    <x v="3"/>
  </r>
  <r>
    <x v="6"/>
    <x v="6"/>
    <x v="2"/>
  </r>
  <r>
    <x v="7"/>
    <x v="0"/>
    <x v="3"/>
  </r>
  <r>
    <x v="8"/>
    <x v="2"/>
    <x v="1"/>
  </r>
  <r>
    <x v="9"/>
    <x v="1"/>
    <x v="2"/>
  </r>
  <r>
    <x v="10"/>
    <x v="7"/>
    <x v="3"/>
  </r>
  <r>
    <x v="11"/>
    <x v="8"/>
    <x v="0"/>
  </r>
  <r>
    <x v="12"/>
    <x v="7"/>
    <x v="1"/>
  </r>
  <r>
    <x v="13"/>
    <x v="1"/>
    <x v="0"/>
  </r>
  <r>
    <x v="14"/>
    <x v="0"/>
    <x v="0"/>
  </r>
  <r>
    <x v="15"/>
    <x v="4"/>
    <x v="3"/>
  </r>
  <r>
    <x v="16"/>
    <x v="3"/>
    <x v="3"/>
  </r>
  <r>
    <x v="17"/>
    <x v="2"/>
    <x v="1"/>
  </r>
  <r>
    <x v="18"/>
    <x v="0"/>
    <x v="0"/>
  </r>
  <r>
    <x v="19"/>
    <x v="1"/>
    <x v="0"/>
  </r>
  <r>
    <x v="20"/>
    <x v="3"/>
    <x v="3"/>
  </r>
  <r>
    <x v="21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C2C7E-2D82-45AB-B8F7-60E064E823C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8">
    <pivotField showAll="0">
      <items count="11">
        <item x="3"/>
        <item x="2"/>
        <item x="8"/>
        <item x="9"/>
        <item x="0"/>
        <item x="7"/>
        <item x="4"/>
        <item x="5"/>
        <item x="1"/>
        <item x="6"/>
        <item t="default"/>
      </items>
    </pivotField>
    <pivotField axis="axisRow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>
      <items count="10">
        <item x="6"/>
        <item x="3"/>
        <item x="4"/>
        <item x="1"/>
        <item x="2"/>
        <item x="8"/>
        <item x="7"/>
        <item x="0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AC990-DCF4-4929-9DB4-11014811D45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J18" firstHeaderRow="1" firstDataRow="1" firstDataCol="1" rowPageCount="1" colPageCount="1"/>
  <pivotFields count="3">
    <pivotField showAll="0">
      <items count="23">
        <item x="4"/>
        <item x="19"/>
        <item x="17"/>
        <item x="15"/>
        <item x="11"/>
        <item x="9"/>
        <item x="5"/>
        <item x="12"/>
        <item x="13"/>
        <item x="8"/>
        <item x="16"/>
        <item x="21"/>
        <item x="20"/>
        <item x="18"/>
        <item x="1"/>
        <item x="0"/>
        <item x="6"/>
        <item x="14"/>
        <item x="7"/>
        <item x="3"/>
        <item x="2"/>
        <item x="10"/>
        <item t="default"/>
      </items>
    </pivotField>
    <pivotField axis="axisRow" showAll="0">
      <items count="10">
        <item x="7"/>
        <item x="3"/>
        <item x="5"/>
        <item x="8"/>
        <item x="4"/>
        <item x="0"/>
        <item x="1"/>
        <item x="2"/>
        <item x="6"/>
        <item t="default"/>
      </items>
    </pivotField>
    <pivotField axis="axisPage" dataField="1" multipleItemSelectionAllowed="1" showAll="0" avgSubtotal="1">
      <items count="5">
        <item x="0"/>
        <item x="1"/>
        <item x="2"/>
        <item x="3"/>
        <item t="avg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Count of Grades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E3F5-9EB4-461A-BF60-A218DBF9684C}">
  <dimension ref="A3:B14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3.6640625" bestFit="1" customWidth="1"/>
    <col min="4" max="4" width="15.21875" bestFit="1" customWidth="1"/>
    <col min="5" max="5" width="5.88671875" bestFit="1" customWidth="1"/>
    <col min="6" max="6" width="11.88671875" bestFit="1" customWidth="1"/>
    <col min="7" max="7" width="13.77734375" bestFit="1" customWidth="1"/>
    <col min="8" max="8" width="13.33203125" bestFit="1" customWidth="1"/>
    <col min="9" max="9" width="9.77734375" bestFit="1" customWidth="1"/>
    <col min="10" max="10" width="12" bestFit="1" customWidth="1"/>
    <col min="11" max="11" width="7.33203125" bestFit="1" customWidth="1"/>
    <col min="12" max="12" width="10.77734375" bestFit="1" customWidth="1"/>
    <col min="13" max="13" width="18.5546875" bestFit="1" customWidth="1"/>
    <col min="14" max="14" width="15.33203125" bestFit="1" customWidth="1"/>
    <col min="15" max="15" width="18.109375" bestFit="1" customWidth="1"/>
    <col min="16" max="16" width="11.77734375" bestFit="1" customWidth="1"/>
    <col min="17" max="17" width="14.5546875" bestFit="1" customWidth="1"/>
    <col min="18" max="18" width="14" bestFit="1" customWidth="1"/>
    <col min="19" max="19" width="16.77734375" bestFit="1" customWidth="1"/>
    <col min="20" max="20" width="9.33203125" bestFit="1" customWidth="1"/>
    <col min="21" max="21" width="12" bestFit="1" customWidth="1"/>
    <col min="22" max="22" width="10.77734375" bestFit="1" customWidth="1"/>
    <col min="23" max="23" width="13.77734375" bestFit="1" customWidth="1"/>
  </cols>
  <sheetData>
    <row r="3" spans="1:2" x14ac:dyDescent="0.3">
      <c r="A3" s="6" t="s">
        <v>28</v>
      </c>
      <c r="B3" t="s">
        <v>30</v>
      </c>
    </row>
    <row r="4" spans="1:2" x14ac:dyDescent="0.3">
      <c r="A4" s="7">
        <v>1</v>
      </c>
      <c r="B4">
        <v>381</v>
      </c>
    </row>
    <row r="5" spans="1:2" x14ac:dyDescent="0.3">
      <c r="A5" s="7">
        <v>2</v>
      </c>
      <c r="B5">
        <v>297</v>
      </c>
    </row>
    <row r="6" spans="1:2" x14ac:dyDescent="0.3">
      <c r="A6" s="7">
        <v>3</v>
      </c>
      <c r="B6">
        <v>323</v>
      </c>
    </row>
    <row r="7" spans="1:2" x14ac:dyDescent="0.3">
      <c r="A7" s="7">
        <v>4</v>
      </c>
      <c r="B7">
        <v>86</v>
      </c>
    </row>
    <row r="8" spans="1:2" x14ac:dyDescent="0.3">
      <c r="A8" s="7">
        <v>5</v>
      </c>
      <c r="B8">
        <v>280</v>
      </c>
    </row>
    <row r="9" spans="1:2" x14ac:dyDescent="0.3">
      <c r="A9" s="7">
        <v>6</v>
      </c>
      <c r="B9">
        <v>393</v>
      </c>
    </row>
    <row r="10" spans="1:2" x14ac:dyDescent="0.3">
      <c r="A10" s="7">
        <v>7</v>
      </c>
      <c r="B10">
        <v>381</v>
      </c>
    </row>
    <row r="11" spans="1:2" x14ac:dyDescent="0.3">
      <c r="A11" s="7">
        <v>8</v>
      </c>
      <c r="B11">
        <v>0</v>
      </c>
    </row>
    <row r="12" spans="1:2" x14ac:dyDescent="0.3">
      <c r="A12" s="7">
        <v>9</v>
      </c>
      <c r="B12">
        <v>338</v>
      </c>
    </row>
    <row r="13" spans="1:2" x14ac:dyDescent="0.3">
      <c r="A13" s="7">
        <v>10</v>
      </c>
      <c r="B13">
        <v>335</v>
      </c>
    </row>
    <row r="14" spans="1:2" x14ac:dyDescent="0.3">
      <c r="A14" s="7" t="s">
        <v>29</v>
      </c>
      <c r="B14">
        <v>2814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9094-D466-45CA-8AFC-B9BA5ED204AB}">
  <dimension ref="A1:N21"/>
  <sheetViews>
    <sheetView workbookViewId="0">
      <selection activeCell="I2" sqref="I2"/>
    </sheetView>
  </sheetViews>
  <sheetFormatPr defaultRowHeight="14.4" x14ac:dyDescent="0.3"/>
  <cols>
    <col min="1" max="1" width="15.21875" customWidth="1"/>
    <col min="2" max="2" width="11.77734375" customWidth="1"/>
    <col min="3" max="3" width="10.77734375" customWidth="1"/>
    <col min="4" max="4" width="11.21875" customWidth="1"/>
    <col min="5" max="5" width="11" customWidth="1"/>
    <col min="6" max="6" width="11.33203125" customWidth="1"/>
    <col min="7" max="7" width="11.77734375" customWidth="1"/>
    <col min="8" max="9" width="11.5546875" customWidth="1"/>
    <col min="10" max="10" width="14.441406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3</v>
      </c>
      <c r="F1" s="2" t="s">
        <v>4</v>
      </c>
      <c r="G1" s="2" t="s">
        <v>5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24</v>
      </c>
    </row>
    <row r="2" spans="1:14" x14ac:dyDescent="0.3">
      <c r="A2" t="s">
        <v>7</v>
      </c>
      <c r="B2">
        <v>1</v>
      </c>
      <c r="C2">
        <v>75</v>
      </c>
      <c r="D2">
        <v>71</v>
      </c>
      <c r="E2">
        <v>67</v>
      </c>
      <c r="F2">
        <v>85</v>
      </c>
      <c r="G2">
        <v>83</v>
      </c>
      <c r="H2">
        <f>SUM(C2:G2)</f>
        <v>381</v>
      </c>
      <c r="I2" s="1" t="str">
        <f>IF(H2&gt;250,"Pass","Fail")</f>
        <v>Pass</v>
      </c>
      <c r="J2" s="1" t="str">
        <f>IF(H2&gt;350,"Good",IF(H2&gt;250,"Average", "Poor"))</f>
        <v>Good</v>
      </c>
      <c r="K2" t="b">
        <f>AND(I2="Pass",J2="Good")</f>
        <v>1</v>
      </c>
      <c r="L2" t="b">
        <f>OR(I2="Pass",J2="Good")</f>
        <v>1</v>
      </c>
      <c r="M2" t="b">
        <f>NOT(I2="Fail")</f>
        <v>1</v>
      </c>
      <c r="N2">
        <f>IFERROR((H2/$H$13)*100,"Indeterminate")</f>
        <v>76.2</v>
      </c>
    </row>
    <row r="3" spans="1:14" x14ac:dyDescent="0.3">
      <c r="A3" t="s">
        <v>8</v>
      </c>
      <c r="B3">
        <v>2</v>
      </c>
      <c r="C3">
        <v>85</v>
      </c>
      <c r="D3">
        <v>46</v>
      </c>
      <c r="E3">
        <v>69</v>
      </c>
      <c r="F3">
        <v>45</v>
      </c>
      <c r="G3">
        <v>52</v>
      </c>
      <c r="H3">
        <f t="shared" ref="H3:H11" si="0">SUM(C3:G3)</f>
        <v>297</v>
      </c>
      <c r="I3" s="1" t="str">
        <f t="shared" ref="I3:I11" si="1">IF(H3&gt;250,"Pass","Fail")</f>
        <v>Pass</v>
      </c>
      <c r="J3" s="1" t="str">
        <f t="shared" ref="J3:J11" si="2">IF(H3&gt;350,"Good",IF(H3&gt;250,"Average", "Poor"))</f>
        <v>Average</v>
      </c>
      <c r="K3" t="b">
        <f t="shared" ref="K3:K11" si="3">AND(I3="Pass",J3="Good")</f>
        <v>0</v>
      </c>
      <c r="L3" t="b">
        <f t="shared" ref="L3:L11" si="4">OR(I3="Pass",J3="Good")</f>
        <v>1</v>
      </c>
      <c r="M3" t="b">
        <f t="shared" ref="M3:M11" si="5">NOT(I3="Fail")</f>
        <v>1</v>
      </c>
      <c r="N3">
        <f t="shared" ref="N3:N11" si="6">IFERROR((H3/$H$13)*100,"Indeterminate")</f>
        <v>59.4</v>
      </c>
    </row>
    <row r="4" spans="1:14" x14ac:dyDescent="0.3">
      <c r="A4" t="s">
        <v>9</v>
      </c>
      <c r="B4">
        <v>3</v>
      </c>
      <c r="C4">
        <v>62</v>
      </c>
      <c r="D4">
        <v>52</v>
      </c>
      <c r="E4">
        <v>83</v>
      </c>
      <c r="F4">
        <v>58</v>
      </c>
      <c r="G4">
        <v>68</v>
      </c>
      <c r="H4">
        <f t="shared" si="0"/>
        <v>323</v>
      </c>
      <c r="I4" s="1" t="str">
        <f t="shared" si="1"/>
        <v>Pass</v>
      </c>
      <c r="J4" s="1" t="str">
        <f t="shared" si="2"/>
        <v>Average</v>
      </c>
      <c r="K4" t="b">
        <f t="shared" si="3"/>
        <v>0</v>
      </c>
      <c r="L4" t="b">
        <f t="shared" si="4"/>
        <v>1</v>
      </c>
      <c r="M4" t="b">
        <f t="shared" si="5"/>
        <v>1</v>
      </c>
      <c r="N4">
        <f t="shared" si="6"/>
        <v>64.600000000000009</v>
      </c>
    </row>
    <row r="5" spans="1:14" x14ac:dyDescent="0.3">
      <c r="A5" t="s">
        <v>10</v>
      </c>
      <c r="B5">
        <v>4</v>
      </c>
      <c r="C5">
        <v>0</v>
      </c>
      <c r="D5">
        <v>42</v>
      </c>
      <c r="E5">
        <v>0</v>
      </c>
      <c r="F5">
        <v>32</v>
      </c>
      <c r="G5">
        <v>12</v>
      </c>
      <c r="H5">
        <f t="shared" si="0"/>
        <v>86</v>
      </c>
      <c r="I5" s="1" t="str">
        <f t="shared" si="1"/>
        <v>Fail</v>
      </c>
      <c r="J5" s="1" t="str">
        <f t="shared" si="2"/>
        <v>Poor</v>
      </c>
      <c r="K5" t="b">
        <f t="shared" si="3"/>
        <v>0</v>
      </c>
      <c r="L5" t="b">
        <f t="shared" si="4"/>
        <v>0</v>
      </c>
      <c r="M5" t="b">
        <f t="shared" si="5"/>
        <v>0</v>
      </c>
      <c r="N5">
        <f t="shared" si="6"/>
        <v>17.2</v>
      </c>
    </row>
    <row r="6" spans="1:14" x14ac:dyDescent="0.3">
      <c r="A6" t="s">
        <v>11</v>
      </c>
      <c r="B6">
        <v>5</v>
      </c>
      <c r="C6">
        <v>51</v>
      </c>
      <c r="D6">
        <v>35</v>
      </c>
      <c r="E6">
        <v>45</v>
      </c>
      <c r="F6">
        <v>92</v>
      </c>
      <c r="G6">
        <v>57</v>
      </c>
      <c r="H6">
        <f t="shared" si="0"/>
        <v>280</v>
      </c>
      <c r="I6" s="1" t="str">
        <f t="shared" si="1"/>
        <v>Pass</v>
      </c>
      <c r="J6" s="1" t="str">
        <f t="shared" si="2"/>
        <v>Average</v>
      </c>
      <c r="K6" t="b">
        <f t="shared" si="3"/>
        <v>0</v>
      </c>
      <c r="L6" t="b">
        <f t="shared" si="4"/>
        <v>1</v>
      </c>
      <c r="M6" t="b">
        <f t="shared" si="5"/>
        <v>1</v>
      </c>
      <c r="N6">
        <f t="shared" si="6"/>
        <v>56.000000000000007</v>
      </c>
    </row>
    <row r="7" spans="1:14" x14ac:dyDescent="0.3">
      <c r="A7" t="s">
        <v>12</v>
      </c>
      <c r="B7">
        <v>6</v>
      </c>
      <c r="C7">
        <v>95</v>
      </c>
      <c r="D7">
        <v>94</v>
      </c>
      <c r="E7">
        <v>59</v>
      </c>
      <c r="F7">
        <v>83</v>
      </c>
      <c r="G7">
        <v>62</v>
      </c>
      <c r="H7">
        <f>SUM(C7:G7)</f>
        <v>393</v>
      </c>
      <c r="I7" s="1" t="str">
        <f t="shared" si="1"/>
        <v>Pass</v>
      </c>
      <c r="J7" s="1" t="str">
        <f t="shared" si="2"/>
        <v>Good</v>
      </c>
      <c r="K7" t="b">
        <f t="shared" si="3"/>
        <v>1</v>
      </c>
      <c r="L7" t="b">
        <f t="shared" si="4"/>
        <v>1</v>
      </c>
      <c r="M7" t="b">
        <f t="shared" si="5"/>
        <v>1</v>
      </c>
      <c r="N7">
        <f t="shared" si="6"/>
        <v>78.600000000000009</v>
      </c>
    </row>
    <row r="8" spans="1:14" x14ac:dyDescent="0.3">
      <c r="A8" t="s">
        <v>13</v>
      </c>
      <c r="B8">
        <v>7</v>
      </c>
      <c r="C8">
        <v>84</v>
      </c>
      <c r="D8">
        <v>61</v>
      </c>
      <c r="E8">
        <v>87</v>
      </c>
      <c r="F8">
        <v>65</v>
      </c>
      <c r="G8">
        <v>84</v>
      </c>
      <c r="H8">
        <f t="shared" si="0"/>
        <v>381</v>
      </c>
      <c r="I8" s="1" t="str">
        <f t="shared" si="1"/>
        <v>Pass</v>
      </c>
      <c r="J8" s="1" t="str">
        <f t="shared" si="2"/>
        <v>Good</v>
      </c>
      <c r="K8" t="b">
        <f t="shared" si="3"/>
        <v>1</v>
      </c>
      <c r="L8" t="b">
        <f t="shared" si="4"/>
        <v>1</v>
      </c>
      <c r="M8" t="b">
        <f t="shared" si="5"/>
        <v>1</v>
      </c>
      <c r="N8">
        <f t="shared" si="6"/>
        <v>76.2</v>
      </c>
    </row>
    <row r="9" spans="1:14" x14ac:dyDescent="0.3">
      <c r="A9" t="s">
        <v>14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f t="shared" si="0"/>
        <v>0</v>
      </c>
      <c r="I9" s="1" t="str">
        <f t="shared" si="1"/>
        <v>Fail</v>
      </c>
      <c r="J9" s="1" t="str">
        <f t="shared" si="2"/>
        <v>Poor</v>
      </c>
      <c r="K9" t="b">
        <f t="shared" si="3"/>
        <v>0</v>
      </c>
      <c r="L9" t="b">
        <f t="shared" si="4"/>
        <v>0</v>
      </c>
      <c r="M9" t="b">
        <f t="shared" si="5"/>
        <v>0</v>
      </c>
      <c r="N9">
        <f t="shared" si="6"/>
        <v>0</v>
      </c>
    </row>
    <row r="10" spans="1:14" x14ac:dyDescent="0.3">
      <c r="A10" t="s">
        <v>15</v>
      </c>
      <c r="B10">
        <v>9</v>
      </c>
      <c r="C10">
        <v>75</v>
      </c>
      <c r="D10">
        <v>84</v>
      </c>
      <c r="E10">
        <v>58</v>
      </c>
      <c r="F10">
        <v>84</v>
      </c>
      <c r="G10">
        <v>37</v>
      </c>
      <c r="H10">
        <f t="shared" si="0"/>
        <v>338</v>
      </c>
      <c r="I10" s="1" t="str">
        <f t="shared" si="1"/>
        <v>Pass</v>
      </c>
      <c r="J10" s="1" t="str">
        <f t="shared" si="2"/>
        <v>Average</v>
      </c>
      <c r="K10" t="b">
        <f t="shared" si="3"/>
        <v>0</v>
      </c>
      <c r="L10" t="b">
        <f t="shared" si="4"/>
        <v>1</v>
      </c>
      <c r="M10" t="b">
        <f t="shared" si="5"/>
        <v>1</v>
      </c>
      <c r="N10">
        <f t="shared" si="6"/>
        <v>67.600000000000009</v>
      </c>
    </row>
    <row r="11" spans="1:14" x14ac:dyDescent="0.3">
      <c r="A11" t="s">
        <v>16</v>
      </c>
      <c r="B11">
        <v>10</v>
      </c>
      <c r="C11">
        <v>39</v>
      </c>
      <c r="D11">
        <v>80</v>
      </c>
      <c r="E11">
        <v>74</v>
      </c>
      <c r="F11">
        <v>54</v>
      </c>
      <c r="G11">
        <v>88</v>
      </c>
      <c r="H11">
        <f t="shared" si="0"/>
        <v>335</v>
      </c>
      <c r="I11" s="1" t="str">
        <f t="shared" si="1"/>
        <v>Pass</v>
      </c>
      <c r="J11" s="1" t="str">
        <f t="shared" si="2"/>
        <v>Average</v>
      </c>
      <c r="K11" t="b">
        <f t="shared" si="3"/>
        <v>0</v>
      </c>
      <c r="L11" t="b">
        <f t="shared" si="4"/>
        <v>1</v>
      </c>
      <c r="M11" t="b">
        <f t="shared" si="5"/>
        <v>1</v>
      </c>
      <c r="N11">
        <f t="shared" si="6"/>
        <v>67</v>
      </c>
    </row>
    <row r="13" spans="1:14" x14ac:dyDescent="0.3">
      <c r="G13" s="3" t="s">
        <v>23</v>
      </c>
      <c r="H13" s="3">
        <v>500</v>
      </c>
    </row>
    <row r="14" spans="1:14" x14ac:dyDescent="0.3">
      <c r="J14" s="4" t="s">
        <v>25</v>
      </c>
      <c r="K14">
        <f>SUMIF(B2:B11,"&gt;5",E2:E11)</f>
        <v>278</v>
      </c>
    </row>
    <row r="15" spans="1:14" x14ac:dyDescent="0.3">
      <c r="E15">
        <v>280</v>
      </c>
      <c r="J15" s="4" t="s">
        <v>26</v>
      </c>
      <c r="K15">
        <f>AVERAGEIF(B2:B11,"&lt;5",E2:E11)</f>
        <v>54.75</v>
      </c>
    </row>
    <row r="16" spans="1:14" x14ac:dyDescent="0.3">
      <c r="J16" s="5" t="s">
        <v>27</v>
      </c>
      <c r="K16">
        <f>COUNTIF(E2:E11,"&gt;70")</f>
        <v>3</v>
      </c>
    </row>
    <row r="21" spans="5:5" x14ac:dyDescent="0.3">
      <c r="E21" s="8" t="str">
        <f>VLOOKUP(E15,H2:I8,2,0)</f>
        <v>Pass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BC69-70B5-4C81-B18D-EB7819B24D1D}">
  <dimension ref="A1:F8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32</v>
      </c>
      <c r="C1" t="s">
        <v>33</v>
      </c>
      <c r="D1" t="s">
        <v>17</v>
      </c>
      <c r="E1" t="s">
        <v>34</v>
      </c>
      <c r="F1" t="s">
        <v>41</v>
      </c>
    </row>
    <row r="2" spans="1:6" x14ac:dyDescent="0.3">
      <c r="A2" t="s">
        <v>35</v>
      </c>
      <c r="B2">
        <v>1</v>
      </c>
      <c r="C2">
        <v>53</v>
      </c>
      <c r="D2">
        <v>100</v>
      </c>
      <c r="E2" t="str">
        <f>IF(C2&gt;50,"Pass","Fail")</f>
        <v>Pass</v>
      </c>
      <c r="F2">
        <f>AVERAGEIF(E2:E8,"=Pass",C2:C8)</f>
        <v>63.5</v>
      </c>
    </row>
    <row r="3" spans="1:6" x14ac:dyDescent="0.3">
      <c r="A3" t="s">
        <v>36</v>
      </c>
      <c r="B3">
        <v>2</v>
      </c>
      <c r="C3">
        <v>65</v>
      </c>
      <c r="D3">
        <v>100</v>
      </c>
      <c r="E3" t="str">
        <f t="shared" ref="E3:E8" si="0">IF(C3&gt;50,"Pass","Fail")</f>
        <v>Pass</v>
      </c>
    </row>
    <row r="4" spans="1:6" x14ac:dyDescent="0.3">
      <c r="A4" t="s">
        <v>37</v>
      </c>
      <c r="B4">
        <v>3</v>
      </c>
      <c r="C4">
        <v>38</v>
      </c>
      <c r="D4">
        <v>100</v>
      </c>
      <c r="E4" t="str">
        <f t="shared" si="0"/>
        <v>Fail</v>
      </c>
    </row>
    <row r="5" spans="1:6" x14ac:dyDescent="0.3">
      <c r="A5" t="s">
        <v>31</v>
      </c>
      <c r="B5">
        <v>4</v>
      </c>
      <c r="C5">
        <v>73</v>
      </c>
      <c r="D5">
        <v>100</v>
      </c>
      <c r="E5" t="str">
        <f t="shared" si="0"/>
        <v>Pass</v>
      </c>
    </row>
    <row r="6" spans="1:6" x14ac:dyDescent="0.3">
      <c r="A6" t="s">
        <v>38</v>
      </c>
      <c r="B6">
        <v>5</v>
      </c>
      <c r="C6">
        <v>22</v>
      </c>
      <c r="D6">
        <v>100</v>
      </c>
      <c r="E6" t="str">
        <f t="shared" si="0"/>
        <v>Fail</v>
      </c>
    </row>
    <row r="7" spans="1:6" x14ac:dyDescent="0.3">
      <c r="A7" t="s">
        <v>39</v>
      </c>
      <c r="B7">
        <v>6</v>
      </c>
      <c r="C7">
        <v>30</v>
      </c>
      <c r="D7">
        <v>100</v>
      </c>
      <c r="E7" t="str">
        <f t="shared" si="0"/>
        <v>Fail</v>
      </c>
    </row>
    <row r="8" spans="1:6" x14ac:dyDescent="0.3">
      <c r="A8" t="s">
        <v>40</v>
      </c>
      <c r="B8">
        <v>7</v>
      </c>
      <c r="C8">
        <v>63</v>
      </c>
      <c r="D8">
        <v>100</v>
      </c>
      <c r="E8" t="str">
        <f t="shared" si="0"/>
        <v>Pass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7C63-C41A-4DE9-B134-009E92E0C94B}">
  <dimension ref="A1:J23"/>
  <sheetViews>
    <sheetView workbookViewId="0">
      <selection activeCell="I8" sqref="I8"/>
    </sheetView>
  </sheetViews>
  <sheetFormatPr defaultRowHeight="14.4" x14ac:dyDescent="0.3"/>
  <cols>
    <col min="9" max="9" width="12.5546875" bestFit="1" customWidth="1"/>
    <col min="10" max="10" width="14.6640625" bestFit="1" customWidth="1"/>
    <col min="11" max="12" width="2.109375" bestFit="1" customWidth="1"/>
    <col min="13" max="13" width="3.77734375" bestFit="1" customWidth="1"/>
    <col min="14" max="14" width="10.77734375" bestFit="1" customWidth="1"/>
  </cols>
  <sheetData>
    <row r="1" spans="1:10" x14ac:dyDescent="0.3">
      <c r="A1" s="9" t="s">
        <v>0</v>
      </c>
      <c r="B1" s="9" t="s">
        <v>42</v>
      </c>
      <c r="C1" s="9" t="s">
        <v>43</v>
      </c>
    </row>
    <row r="2" spans="1:10" x14ac:dyDescent="0.3">
      <c r="A2" t="s">
        <v>35</v>
      </c>
      <c r="B2" t="s">
        <v>60</v>
      </c>
      <c r="C2" t="s">
        <v>69</v>
      </c>
    </row>
    <row r="3" spans="1:10" x14ac:dyDescent="0.3">
      <c r="A3" t="s">
        <v>36</v>
      </c>
      <c r="B3" t="s">
        <v>61</v>
      </c>
      <c r="C3" t="s">
        <v>71</v>
      </c>
    </row>
    <row r="4" spans="1:10" x14ac:dyDescent="0.3">
      <c r="A4" t="s">
        <v>44</v>
      </c>
      <c r="B4" t="s">
        <v>62</v>
      </c>
      <c r="C4" t="s">
        <v>69</v>
      </c>
    </row>
    <row r="5" spans="1:10" x14ac:dyDescent="0.3">
      <c r="A5" t="s">
        <v>45</v>
      </c>
      <c r="B5" t="s">
        <v>63</v>
      </c>
      <c r="C5" t="s">
        <v>70</v>
      </c>
    </row>
    <row r="6" spans="1:10" x14ac:dyDescent="0.3">
      <c r="A6" t="s">
        <v>46</v>
      </c>
      <c r="B6" t="s">
        <v>64</v>
      </c>
      <c r="C6" t="s">
        <v>71</v>
      </c>
      <c r="I6" s="6" t="s">
        <v>43</v>
      </c>
      <c r="J6" t="s">
        <v>73</v>
      </c>
    </row>
    <row r="7" spans="1:10" x14ac:dyDescent="0.3">
      <c r="A7" t="s">
        <v>39</v>
      </c>
      <c r="B7" t="s">
        <v>65</v>
      </c>
      <c r="C7" t="s">
        <v>72</v>
      </c>
    </row>
    <row r="8" spans="1:10" x14ac:dyDescent="0.3">
      <c r="A8" t="s">
        <v>40</v>
      </c>
      <c r="B8" t="s">
        <v>66</v>
      </c>
      <c r="C8" t="s">
        <v>70</v>
      </c>
      <c r="I8" s="6" t="s">
        <v>28</v>
      </c>
      <c r="J8" t="s">
        <v>74</v>
      </c>
    </row>
    <row r="9" spans="1:10" x14ac:dyDescent="0.3">
      <c r="A9" t="s">
        <v>31</v>
      </c>
      <c r="B9" t="s">
        <v>60</v>
      </c>
      <c r="C9" t="s">
        <v>72</v>
      </c>
      <c r="I9" s="7" t="s">
        <v>67</v>
      </c>
      <c r="J9" s="10">
        <v>2</v>
      </c>
    </row>
    <row r="10" spans="1:10" x14ac:dyDescent="0.3">
      <c r="A10" t="s">
        <v>37</v>
      </c>
      <c r="B10" t="s">
        <v>62</v>
      </c>
      <c r="C10" t="s">
        <v>71</v>
      </c>
      <c r="I10" s="7" t="s">
        <v>63</v>
      </c>
      <c r="J10" s="10">
        <v>3</v>
      </c>
    </row>
    <row r="11" spans="1:10" x14ac:dyDescent="0.3">
      <c r="A11" t="s">
        <v>47</v>
      </c>
      <c r="B11" t="s">
        <v>61</v>
      </c>
      <c r="C11" t="s">
        <v>70</v>
      </c>
      <c r="I11" s="7" t="s">
        <v>65</v>
      </c>
      <c r="J11" s="10">
        <v>1</v>
      </c>
    </row>
    <row r="12" spans="1:10" x14ac:dyDescent="0.3">
      <c r="A12" t="s">
        <v>48</v>
      </c>
      <c r="B12" t="s">
        <v>67</v>
      </c>
      <c r="C12" t="s">
        <v>72</v>
      </c>
      <c r="I12" s="7" t="s">
        <v>68</v>
      </c>
      <c r="J12" s="10">
        <v>1</v>
      </c>
    </row>
    <row r="13" spans="1:10" x14ac:dyDescent="0.3">
      <c r="A13" t="s">
        <v>49</v>
      </c>
      <c r="B13" t="s">
        <v>68</v>
      </c>
      <c r="C13" t="s">
        <v>69</v>
      </c>
      <c r="I13" s="7" t="s">
        <v>64</v>
      </c>
      <c r="J13" s="10">
        <v>2</v>
      </c>
    </row>
    <row r="14" spans="1:10" x14ac:dyDescent="0.3">
      <c r="A14" t="s">
        <v>50</v>
      </c>
      <c r="B14" t="s">
        <v>67</v>
      </c>
      <c r="C14" t="s">
        <v>71</v>
      </c>
      <c r="I14" s="7" t="s">
        <v>60</v>
      </c>
      <c r="J14" s="10">
        <v>4</v>
      </c>
    </row>
    <row r="15" spans="1:10" x14ac:dyDescent="0.3">
      <c r="A15" t="s">
        <v>51</v>
      </c>
      <c r="B15" t="s">
        <v>61</v>
      </c>
      <c r="C15" t="s">
        <v>69</v>
      </c>
      <c r="I15" s="7" t="s">
        <v>61</v>
      </c>
      <c r="J15" s="10">
        <v>5</v>
      </c>
    </row>
    <row r="16" spans="1:10" x14ac:dyDescent="0.3">
      <c r="A16" t="s">
        <v>52</v>
      </c>
      <c r="B16" t="s">
        <v>60</v>
      </c>
      <c r="C16" t="s">
        <v>69</v>
      </c>
      <c r="I16" s="7" t="s">
        <v>62</v>
      </c>
      <c r="J16" s="10">
        <v>3</v>
      </c>
    </row>
    <row r="17" spans="1:10" x14ac:dyDescent="0.3">
      <c r="A17" t="s">
        <v>53</v>
      </c>
      <c r="B17" t="s">
        <v>64</v>
      </c>
      <c r="C17" t="s">
        <v>72</v>
      </c>
      <c r="I17" s="7" t="s">
        <v>66</v>
      </c>
      <c r="J17" s="10">
        <v>1</v>
      </c>
    </row>
    <row r="18" spans="1:10" x14ac:dyDescent="0.3">
      <c r="A18" t="s">
        <v>54</v>
      </c>
      <c r="B18" t="s">
        <v>63</v>
      </c>
      <c r="C18" t="s">
        <v>72</v>
      </c>
      <c r="I18" s="7" t="s">
        <v>29</v>
      </c>
      <c r="J18" s="10">
        <v>22</v>
      </c>
    </row>
    <row r="19" spans="1:10" x14ac:dyDescent="0.3">
      <c r="A19" t="s">
        <v>55</v>
      </c>
      <c r="B19" t="s">
        <v>62</v>
      </c>
      <c r="C19" t="s">
        <v>71</v>
      </c>
    </row>
    <row r="20" spans="1:10" x14ac:dyDescent="0.3">
      <c r="A20" t="s">
        <v>56</v>
      </c>
      <c r="B20" t="s">
        <v>60</v>
      </c>
      <c r="C20" t="s">
        <v>69</v>
      </c>
    </row>
    <row r="21" spans="1:10" x14ac:dyDescent="0.3">
      <c r="A21" t="s">
        <v>57</v>
      </c>
      <c r="B21" t="s">
        <v>61</v>
      </c>
      <c r="C21" t="s">
        <v>69</v>
      </c>
    </row>
    <row r="22" spans="1:10" x14ac:dyDescent="0.3">
      <c r="A22" t="s">
        <v>58</v>
      </c>
      <c r="B22" t="s">
        <v>63</v>
      </c>
      <c r="C22" t="s">
        <v>72</v>
      </c>
    </row>
    <row r="23" spans="1:10" x14ac:dyDescent="0.3">
      <c r="A23" t="s">
        <v>59</v>
      </c>
      <c r="B23" t="s">
        <v>61</v>
      </c>
      <c r="C2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Pinda</dc:creator>
  <cp:lastModifiedBy>Parvinder Rajput</cp:lastModifiedBy>
  <dcterms:created xsi:type="dcterms:W3CDTF">2023-08-10T16:51:06Z</dcterms:created>
  <dcterms:modified xsi:type="dcterms:W3CDTF">2023-10-04T16:33:40Z</dcterms:modified>
</cp:coreProperties>
</file>